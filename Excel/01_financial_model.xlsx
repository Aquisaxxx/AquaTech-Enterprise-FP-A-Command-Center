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Budget_vs_Actual" sheetId="3" state="visible" r:id="rId3"/>
    <sheet xmlns:r="http://schemas.openxmlformats.org/officeDocument/2006/relationships" name="P&amp;L" sheetId="4" state="visible" r:id="rId4"/>
    <sheet xmlns:r="http://schemas.openxmlformats.org/officeDocument/2006/relationships" name="Forecast_Scenarios" sheetId="5" state="visible" r:id="rId5"/>
    <sheet xmlns:r="http://schemas.openxmlformats.org/officeDocument/2006/relationships" name="KPIs" sheetId="6" state="visible" r:id="rId6"/>
    <sheet xmlns:r="http://schemas.openxmlformats.org/officeDocument/2006/relationships" name="Executive_Dashboar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  <font/>
    <font>
      <b val="1"/>
      <sz val="18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0" fontId="1" fillId="2" borderId="0" pivotButton="0" quotePrefix="0" xfId="0"/>
    <xf numFmtId="165" fontId="0" fillId="0" borderId="1" pivotButton="0" quotePrefix="0" xfId="0"/>
    <xf numFmtId="0" fontId="3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3" borderId="0" pivotButton="0" quotePrefix="0" xfId="0"/>
    <xf numFmtId="164" fontId="6" fillId="0" borderId="0" pivotButton="0" quotePrefix="0" xfId="0"/>
    <xf numFmtId="165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Revenue: Actual vs Budget</a:t>
            </a:r>
          </a:p>
        </rich>
      </tx>
    </title>
    <plotArea>
      <lineChart>
        <grouping val="standard"/>
        <ser>
          <idx val="0"/>
          <order val="0"/>
          <tx>
            <strRef>
              <f>'Budget_vs_Actual'!B1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'Budget_vs_Actual'!$A$2:$A$7</f>
            </numRef>
          </cat>
          <val>
            <numRef>
              <f>'Budget_vs_Actual'!$B$2:$B$7</f>
            </numRef>
          </val>
        </ser>
        <ser>
          <idx val="1"/>
          <order val="1"/>
          <tx>
            <strRef>
              <f>'Budget_vs_Actual'!C1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'Budget_vs_Actual'!$A$2:$A$7</f>
            </numRef>
          </cat>
          <val>
            <numRef>
              <f>'Budget_vs_Actual'!$C$2:$C$7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July Forecast Scenarios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'Forecast_Scenarios'!B1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'Forecast_Scenarios'!$A$2:$A$4</f>
            </numRef>
          </cat>
          <val>
            <numRef>
              <f>'Forecast_Scenarios'!$B$2:$B$4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6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inancialData" displayName="FinancialData" ref="A1:J7" headerRowCount="1">
  <autoFilter ref="A1:J7"/>
  <tableColumns count="10">
    <tableColumn id="1" name="Month"/>
    <tableColumn id="2" name="Product"/>
    <tableColumn id="3" name="Region"/>
    <tableColumn id="4" name="Revenue"/>
    <tableColumn id="5" name="Budget Revenue"/>
    <tableColumn id="6" name="Units"/>
    <tableColumn id="7" name="Average Price"/>
    <tableColumn id="8" name="COGS"/>
    <tableColumn id="9" name="Operating Expenses"/>
    <tableColumn id="10" name="Customer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2" customWidth="1" min="6" max="6"/>
    <col width="15" customWidth="1" min="7" max="7"/>
    <col width="12" customWidth="1" min="8" max="8"/>
    <col width="20" customWidth="1" min="9" max="9"/>
    <col width="12" customWidth="1" min="10" max="10"/>
  </cols>
  <sheetData>
    <row r="1">
      <c r="A1" s="1" t="inlineStr">
        <is>
          <t>Month</t>
        </is>
      </c>
      <c r="B1" s="1" t="inlineStr">
        <is>
          <t>Product</t>
        </is>
      </c>
      <c r="C1" s="1" t="inlineStr">
        <is>
          <t>Region</t>
        </is>
      </c>
      <c r="D1" s="1" t="inlineStr">
        <is>
          <t>Revenue</t>
        </is>
      </c>
      <c r="E1" s="1" t="inlineStr">
        <is>
          <t>Budget Revenue</t>
        </is>
      </c>
      <c r="F1" s="1" t="inlineStr">
        <is>
          <t>Units</t>
        </is>
      </c>
      <c r="G1" s="1" t="inlineStr">
        <is>
          <t>Average Price</t>
        </is>
      </c>
      <c r="H1" s="1" t="inlineStr">
        <is>
          <t>COGS</t>
        </is>
      </c>
      <c r="I1" s="1" t="inlineStr">
        <is>
          <t>Operating Expenses</t>
        </is>
      </c>
      <c r="J1" s="1" t="inlineStr">
        <is>
          <t>Customers</t>
        </is>
      </c>
    </row>
    <row r="2">
      <c r="A2" s="2" t="inlineStr">
        <is>
          <t>Jan</t>
        </is>
      </c>
      <c r="B2" s="2" t="inlineStr">
        <is>
          <t>AquaCore</t>
        </is>
      </c>
      <c r="C2" s="2" t="inlineStr">
        <is>
          <t>East</t>
        </is>
      </c>
      <c r="D2" s="3" t="n">
        <v>820000</v>
      </c>
      <c r="E2" s="3" t="n">
        <v>850000</v>
      </c>
      <c r="F2" s="2" t="n">
        <v>4100</v>
      </c>
      <c r="G2" s="3" t="n">
        <v>200</v>
      </c>
      <c r="H2" s="3" t="n">
        <v>180000</v>
      </c>
      <c r="I2" s="3" t="n">
        <v>330000</v>
      </c>
      <c r="J2" s="2" t="n">
        <v>410</v>
      </c>
    </row>
    <row r="3">
      <c r="A3" s="2" t="inlineStr">
        <is>
          <t>Feb</t>
        </is>
      </c>
      <c r="B3" s="2" t="inlineStr">
        <is>
          <t>AquaAI</t>
        </is>
      </c>
      <c r="C3" s="2" t="inlineStr">
        <is>
          <t>West</t>
        </is>
      </c>
      <c r="D3" s="3" t="n">
        <v>860000</v>
      </c>
      <c r="E3" s="3" t="n">
        <v>880000</v>
      </c>
      <c r="F3" s="2" t="n">
        <v>2150</v>
      </c>
      <c r="G3" s="3" t="n">
        <v>400</v>
      </c>
      <c r="H3" s="3" t="n">
        <v>190000</v>
      </c>
      <c r="I3" s="3" t="n">
        <v>340000</v>
      </c>
      <c r="J3" s="2" t="n">
        <v>430</v>
      </c>
    </row>
    <row r="4">
      <c r="A4" s="2" t="inlineStr">
        <is>
          <t>Mar</t>
        </is>
      </c>
      <c r="B4" s="2" t="inlineStr">
        <is>
          <t>AquaSecure</t>
        </is>
      </c>
      <c r="C4" s="2" t="inlineStr">
        <is>
          <t>South</t>
        </is>
      </c>
      <c r="D4" s="3" t="n">
        <v>900000</v>
      </c>
      <c r="E4" s="3" t="n">
        <v>920000</v>
      </c>
      <c r="F4" s="2" t="n">
        <v>1800</v>
      </c>
      <c r="G4" s="3" t="n">
        <v>500</v>
      </c>
      <c r="H4" s="3" t="n">
        <v>205000</v>
      </c>
      <c r="I4" s="3" t="n">
        <v>350000</v>
      </c>
      <c r="J4" s="2" t="n">
        <v>450</v>
      </c>
    </row>
    <row r="5">
      <c r="A5" s="2" t="inlineStr">
        <is>
          <t>Apr</t>
        </is>
      </c>
      <c r="B5" s="2" t="inlineStr">
        <is>
          <t>AquaCore</t>
        </is>
      </c>
      <c r="C5" s="2" t="inlineStr">
        <is>
          <t>East</t>
        </is>
      </c>
      <c r="D5" s="3" t="n">
        <v>970000</v>
      </c>
      <c r="E5" s="3" t="n">
        <v>950000</v>
      </c>
      <c r="F5" s="2" t="n">
        <v>4850</v>
      </c>
      <c r="G5" s="3" t="n">
        <v>200</v>
      </c>
      <c r="H5" s="3" t="n">
        <v>210000</v>
      </c>
      <c r="I5" s="3" t="n">
        <v>345000</v>
      </c>
      <c r="J5" s="2" t="n">
        <v>485</v>
      </c>
    </row>
    <row r="6">
      <c r="A6" s="2" t="inlineStr">
        <is>
          <t>May</t>
        </is>
      </c>
      <c r="B6" s="2" t="inlineStr">
        <is>
          <t>AquaAI</t>
        </is>
      </c>
      <c r="C6" s="2" t="inlineStr">
        <is>
          <t>West</t>
        </is>
      </c>
      <c r="D6" s="3" t="n">
        <v>1080000</v>
      </c>
      <c r="E6" s="3" t="n">
        <v>1060000</v>
      </c>
      <c r="F6" s="2" t="n">
        <v>2700</v>
      </c>
      <c r="G6" s="3" t="n">
        <v>400</v>
      </c>
      <c r="H6" s="3" t="n">
        <v>220000</v>
      </c>
      <c r="I6" s="3" t="n">
        <v>350000</v>
      </c>
      <c r="J6" s="2" t="n">
        <v>520</v>
      </c>
    </row>
    <row r="7">
      <c r="A7" s="2" t="inlineStr">
        <is>
          <t>Jun</t>
        </is>
      </c>
      <c r="B7" s="2" t="inlineStr">
        <is>
          <t>AquaSecure</t>
        </is>
      </c>
      <c r="C7" s="2" t="inlineStr">
        <is>
          <t>South</t>
        </is>
      </c>
      <c r="D7" s="3" t="n">
        <v>1300000</v>
      </c>
      <c r="E7" s="3" t="n">
        <v>1280000</v>
      </c>
      <c r="F7" s="2" t="n">
        <v>2600</v>
      </c>
      <c r="G7" s="3" t="n">
        <v>500</v>
      </c>
      <c r="H7" s="3" t="n">
        <v>230000</v>
      </c>
      <c r="I7" s="3" t="n">
        <v>365000</v>
      </c>
      <c r="J7" s="2" t="n">
        <v>560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32" customWidth="1" min="3" max="3"/>
  </cols>
  <sheetData>
    <row r="1">
      <c r="A1" s="4" t="inlineStr">
        <is>
          <t>AquaTech FP&amp;A — Model Assumptions</t>
        </is>
      </c>
    </row>
    <row r="2"/>
    <row r="3">
      <c r="A3" s="5" t="inlineStr">
        <is>
          <t>Assumption</t>
        </is>
      </c>
      <c r="B3" s="5" t="inlineStr">
        <is>
          <t>Value</t>
        </is>
      </c>
      <c r="C3" s="5" t="inlineStr">
        <is>
          <t>Description</t>
        </is>
      </c>
    </row>
    <row r="4">
      <c r="A4" s="2" t="inlineStr">
        <is>
          <t>Base Case Growth</t>
        </is>
      </c>
      <c r="B4" s="6" t="n">
        <v>0.03</v>
      </c>
      <c r="C4" s="2" t="inlineStr">
        <is>
          <t>Monthly forecast growth</t>
        </is>
      </c>
    </row>
    <row r="5">
      <c r="A5" s="2" t="inlineStr">
        <is>
          <t>Upside Growth</t>
        </is>
      </c>
      <c r="B5" s="6" t="n">
        <v>0.05</v>
      </c>
      <c r="C5" s="2" t="inlineStr">
        <is>
          <t>Higher-growth scenario</t>
        </is>
      </c>
    </row>
    <row r="6">
      <c r="A6" s="2" t="inlineStr">
        <is>
          <t>Downside Growth</t>
        </is>
      </c>
      <c r="B6" s="6" t="n">
        <v>0.01</v>
      </c>
      <c r="C6" s="2" t="inlineStr">
        <is>
          <t>Conservative scenario</t>
        </is>
      </c>
    </row>
    <row r="7">
      <c r="A7" s="2" t="inlineStr">
        <is>
          <t>COGS % of Revenue</t>
        </is>
      </c>
      <c r="B7" s="6" t="n">
        <v>0.23</v>
      </c>
      <c r="C7" s="2" t="inlineStr">
        <is>
          <t>Planning assumption</t>
        </is>
      </c>
    </row>
    <row r="8">
      <c r="A8" s="2" t="inlineStr">
        <is>
          <t>OpEx Growth</t>
        </is>
      </c>
      <c r="B8" s="6" t="n">
        <v>0.02</v>
      </c>
      <c r="C8" s="2" t="inlineStr">
        <is>
          <t>Monthly operating expense growth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13" customWidth="1" min="4" max="4"/>
    <col width="19" customWidth="1" min="5" max="5"/>
    <col width="32" customWidth="1" min="6" max="6"/>
  </cols>
  <sheetData>
    <row r="1">
      <c r="A1" s="5" t="inlineStr">
        <is>
          <t>Month</t>
        </is>
      </c>
      <c r="B1" s="5" t="inlineStr">
        <is>
          <t>Actual Revenue</t>
        </is>
      </c>
      <c r="C1" s="5" t="inlineStr">
        <is>
          <t>Budget Revenue</t>
        </is>
      </c>
      <c r="D1" s="5" t="inlineStr">
        <is>
          <t>Variance</t>
        </is>
      </c>
      <c r="E1" s="5" t="inlineStr">
        <is>
          <t>Variance %</t>
        </is>
      </c>
      <c r="F1" s="5" t="inlineStr">
        <is>
          <t>Status</t>
        </is>
      </c>
    </row>
    <row r="2">
      <c r="A2" s="2" t="inlineStr">
        <is>
          <t>Jan</t>
        </is>
      </c>
      <c r="B2" s="3">
        <f>SUMIF(Raw_Data!$A$2:$A$7,A2,Raw_Data!$D$2:$D$7)</f>
        <v/>
      </c>
      <c r="C2" s="3">
        <f>SUMIF(Raw_Data!$A$2:$A$7,A2,Raw_Data!$E$2:$E$7)</f>
        <v/>
      </c>
      <c r="D2" s="3">
        <f>B2-C2</f>
        <v/>
      </c>
      <c r="E2" s="6">
        <f>IFERROR(D2/C2,0)</f>
        <v/>
      </c>
      <c r="F2" s="2">
        <f>IF(D2&gt;=0,"Favorable","Unfavorable")</f>
        <v/>
      </c>
    </row>
    <row r="3">
      <c r="A3" s="2" t="inlineStr">
        <is>
          <t>Feb</t>
        </is>
      </c>
      <c r="B3" s="3">
        <f>SUMIF(Raw_Data!$A$2:$A$7,A3,Raw_Data!$D$2:$D$7)</f>
        <v/>
      </c>
      <c r="C3" s="3">
        <f>SUMIF(Raw_Data!$A$2:$A$7,A3,Raw_Data!$E$2:$E$7)</f>
        <v/>
      </c>
      <c r="D3" s="3">
        <f>B3-C3</f>
        <v/>
      </c>
      <c r="E3" s="6">
        <f>IFERROR(D3/C3,0)</f>
        <v/>
      </c>
      <c r="F3" s="2">
        <f>IF(D3&gt;=0,"Favorable","Unfavorable")</f>
        <v/>
      </c>
    </row>
    <row r="4">
      <c r="A4" s="2" t="inlineStr">
        <is>
          <t>Mar</t>
        </is>
      </c>
      <c r="B4" s="3">
        <f>SUMIF(Raw_Data!$A$2:$A$7,A4,Raw_Data!$D$2:$D$7)</f>
        <v/>
      </c>
      <c r="C4" s="3">
        <f>SUMIF(Raw_Data!$A$2:$A$7,A4,Raw_Data!$E$2:$E$7)</f>
        <v/>
      </c>
      <c r="D4" s="3">
        <f>B4-C4</f>
        <v/>
      </c>
      <c r="E4" s="6">
        <f>IFERROR(D4/C4,0)</f>
        <v/>
      </c>
      <c r="F4" s="2">
        <f>IF(D4&gt;=0,"Favorable","Unfavorable")</f>
        <v/>
      </c>
    </row>
    <row r="5">
      <c r="A5" s="2" t="inlineStr">
        <is>
          <t>Apr</t>
        </is>
      </c>
      <c r="B5" s="3">
        <f>SUMIF(Raw_Data!$A$2:$A$7,A5,Raw_Data!$D$2:$D$7)</f>
        <v/>
      </c>
      <c r="C5" s="3">
        <f>SUMIF(Raw_Data!$A$2:$A$7,A5,Raw_Data!$E$2:$E$7)</f>
        <v/>
      </c>
      <c r="D5" s="3">
        <f>B5-C5</f>
        <v/>
      </c>
      <c r="E5" s="6">
        <f>IFERROR(D5/C5,0)</f>
        <v/>
      </c>
      <c r="F5" s="2">
        <f>IF(D5&gt;=0,"Favorable","Unfavorable")</f>
        <v/>
      </c>
    </row>
    <row r="6">
      <c r="A6" s="2" t="inlineStr">
        <is>
          <t>May</t>
        </is>
      </c>
      <c r="B6" s="3">
        <f>SUMIF(Raw_Data!$A$2:$A$7,A6,Raw_Data!$D$2:$D$7)</f>
        <v/>
      </c>
      <c r="C6" s="3">
        <f>SUMIF(Raw_Data!$A$2:$A$7,A6,Raw_Data!$E$2:$E$7)</f>
        <v/>
      </c>
      <c r="D6" s="3">
        <f>B6-C6</f>
        <v/>
      </c>
      <c r="E6" s="6">
        <f>IFERROR(D6/C6,0)</f>
        <v/>
      </c>
      <c r="F6" s="2">
        <f>IF(D6&gt;=0,"Favorable","Unfavorable")</f>
        <v/>
      </c>
    </row>
    <row r="7">
      <c r="A7" s="2" t="inlineStr">
        <is>
          <t>Jun</t>
        </is>
      </c>
      <c r="B7" s="3">
        <f>SUMIF(Raw_Data!$A$2:$A$7,A7,Raw_Data!$D$2:$D$7)</f>
        <v/>
      </c>
      <c r="C7" s="3">
        <f>SUMIF(Raw_Data!$A$2:$A$7,A7,Raw_Data!$E$2:$E$7)</f>
        <v/>
      </c>
      <c r="D7" s="3">
        <f>B7-C7</f>
        <v/>
      </c>
      <c r="E7" s="6">
        <f>IFERROR(D7/C7,0)</f>
        <v/>
      </c>
      <c r="F7" s="2">
        <f>IF(D7&gt;=0,"Favorable","Unfavorable")</f>
        <v/>
      </c>
    </row>
    <row r="8"/>
    <row r="9">
      <c r="A9" s="7" t="inlineStr">
        <is>
          <t>Total</t>
        </is>
      </c>
      <c r="B9" s="8">
        <f>SUM(B2:B7)</f>
        <v/>
      </c>
      <c r="C9" s="8">
        <f>SUM(C2:C7)</f>
        <v/>
      </c>
      <c r="D9" s="8">
        <f>SUM(D2:D7)</f>
        <v/>
      </c>
      <c r="E9" s="9">
        <f>IFERROR(D9/C9,0)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31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4" t="inlineStr">
        <is>
          <t>AquaTech FP&amp;A — Profit &amp; Loss</t>
        </is>
      </c>
    </row>
    <row r="2"/>
    <row r="3">
      <c r="A3" s="5" t="inlineStr">
        <is>
          <t>Metric</t>
        </is>
      </c>
      <c r="B3" s="5" t="inlineStr">
        <is>
          <t>Jan</t>
        </is>
      </c>
      <c r="C3" s="5" t="inlineStr">
        <is>
          <t>Feb</t>
        </is>
      </c>
      <c r="D3" s="5" t="inlineStr">
        <is>
          <t>Mar</t>
        </is>
      </c>
      <c r="E3" s="5" t="inlineStr">
        <is>
          <t>Apr</t>
        </is>
      </c>
      <c r="F3" s="5" t="inlineStr">
        <is>
          <t>May</t>
        </is>
      </c>
      <c r="G3" s="5" t="inlineStr">
        <is>
          <t>Jun</t>
        </is>
      </c>
    </row>
    <row r="4">
      <c r="A4" s="10" t="inlineStr">
        <is>
          <t>Revenue</t>
        </is>
      </c>
      <c r="B4" s="3">
        <f>SUMIF(Raw_Data!$A$2:$A$7,B$3,Raw_Data!$D$2:$D$7)</f>
        <v/>
      </c>
      <c r="C4" s="3">
        <f>SUMIF(Raw_Data!$A$2:$A$7,C$3,Raw_Data!$D$2:$D$7)</f>
        <v/>
      </c>
      <c r="D4" s="3">
        <f>SUMIF(Raw_Data!$A$2:$A$7,D$3,Raw_Data!$D$2:$D$7)</f>
        <v/>
      </c>
      <c r="E4" s="3">
        <f>SUMIF(Raw_Data!$A$2:$A$7,E$3,Raw_Data!$D$2:$D$7)</f>
        <v/>
      </c>
      <c r="F4" s="3">
        <f>SUMIF(Raw_Data!$A$2:$A$7,F$3,Raw_Data!$D$2:$D$7)</f>
        <v/>
      </c>
      <c r="G4" s="3">
        <f>SUMIF(Raw_Data!$A$2:$A$7,G$3,Raw_Data!$D$2:$D$7)</f>
        <v/>
      </c>
    </row>
    <row r="5">
      <c r="A5" s="10" t="inlineStr">
        <is>
          <t>COGS</t>
        </is>
      </c>
      <c r="B5" s="3">
        <f>SUMIF(Raw_Data!$A$2:$A$7,B$3,Raw_Data!$H$2:$H$7)</f>
        <v/>
      </c>
      <c r="C5" s="3">
        <f>SUMIF(Raw_Data!$A$2:$A$7,C$3,Raw_Data!$H$2:$H$7)</f>
        <v/>
      </c>
      <c r="D5" s="3">
        <f>SUMIF(Raw_Data!$A$2:$A$7,D$3,Raw_Data!$H$2:$H$7)</f>
        <v/>
      </c>
      <c r="E5" s="3">
        <f>SUMIF(Raw_Data!$A$2:$A$7,E$3,Raw_Data!$H$2:$H$7)</f>
        <v/>
      </c>
      <c r="F5" s="3">
        <f>SUMIF(Raw_Data!$A$2:$A$7,F$3,Raw_Data!$H$2:$H$7)</f>
        <v/>
      </c>
      <c r="G5" s="3">
        <f>SUMIF(Raw_Data!$A$2:$A$7,G$3,Raw_Data!$H$2:$H$7)</f>
        <v/>
      </c>
    </row>
    <row r="6">
      <c r="A6" s="7" t="inlineStr">
        <is>
          <t>Gross Profit</t>
        </is>
      </c>
      <c r="B6" s="3">
        <f>B4-B5</f>
        <v/>
      </c>
      <c r="C6" s="3">
        <f>C4-C5</f>
        <v/>
      </c>
      <c r="D6" s="3">
        <f>D4-D5</f>
        <v/>
      </c>
      <c r="E6" s="3">
        <f>E4-E5</f>
        <v/>
      </c>
      <c r="F6" s="3">
        <f>F4-F5</f>
        <v/>
      </c>
      <c r="G6" s="3">
        <f>G4-G5</f>
        <v/>
      </c>
    </row>
    <row r="7">
      <c r="A7" s="7" t="inlineStr">
        <is>
          <t>Gross Margin</t>
        </is>
      </c>
      <c r="B7" s="6">
        <f>IFERROR(B6/B4,0)</f>
        <v/>
      </c>
      <c r="C7" s="6">
        <f>IFERROR(C6/C4,0)</f>
        <v/>
      </c>
      <c r="D7" s="6">
        <f>IFERROR(D6/D4,0)</f>
        <v/>
      </c>
      <c r="E7" s="6">
        <f>IFERROR(E6/E4,0)</f>
        <v/>
      </c>
      <c r="F7" s="6">
        <f>IFERROR(F6/F4,0)</f>
        <v/>
      </c>
      <c r="G7" s="6">
        <f>IFERROR(G6/G4,0)</f>
        <v/>
      </c>
    </row>
    <row r="8">
      <c r="A8" s="10" t="inlineStr">
        <is>
          <t>Operating Expenses</t>
        </is>
      </c>
      <c r="B8" s="3">
        <f>SUMIF(Raw_Data!$A$2:$A$7,B$3,Raw_Data!$I$2:$I$7)</f>
        <v/>
      </c>
      <c r="C8" s="3">
        <f>SUMIF(Raw_Data!$A$2:$A$7,C$3,Raw_Data!$I$2:$I$7)</f>
        <v/>
      </c>
      <c r="D8" s="3">
        <f>SUMIF(Raw_Data!$A$2:$A$7,D$3,Raw_Data!$I$2:$I$7)</f>
        <v/>
      </c>
      <c r="E8" s="3">
        <f>SUMIF(Raw_Data!$A$2:$A$7,E$3,Raw_Data!$I$2:$I$7)</f>
        <v/>
      </c>
      <c r="F8" s="3">
        <f>SUMIF(Raw_Data!$A$2:$A$7,F$3,Raw_Data!$I$2:$I$7)</f>
        <v/>
      </c>
      <c r="G8" s="3">
        <f>SUMIF(Raw_Data!$A$2:$A$7,G$3,Raw_Data!$I$2:$I$7)</f>
        <v/>
      </c>
    </row>
    <row r="9">
      <c r="A9" s="7" t="inlineStr">
        <is>
          <t>Operating Profit</t>
        </is>
      </c>
      <c r="B9" s="3">
        <f>B6-B8</f>
        <v/>
      </c>
      <c r="C9" s="3">
        <f>C6-C8</f>
        <v/>
      </c>
      <c r="D9" s="3">
        <f>D6-D8</f>
        <v/>
      </c>
      <c r="E9" s="3">
        <f>E6-E8</f>
        <v/>
      </c>
      <c r="F9" s="3">
        <f>F6-F8</f>
        <v/>
      </c>
      <c r="G9" s="3">
        <f>G6-G8</f>
        <v/>
      </c>
    </row>
    <row r="10">
      <c r="A10" s="7" t="inlineStr">
        <is>
          <t>Operating Margin</t>
        </is>
      </c>
      <c r="B10" s="6">
        <f>IFERROR(B9/B4,0)</f>
        <v/>
      </c>
      <c r="C10" s="6">
        <f>IFERROR(C9/C4,0)</f>
        <v/>
      </c>
      <c r="D10" s="6">
        <f>IFERROR(D9/D4,0)</f>
        <v/>
      </c>
      <c r="E10" s="6">
        <f>IFERROR(E9/E4,0)</f>
        <v/>
      </c>
      <c r="F10" s="6">
        <f>IFERROR(F9/F4,0)</f>
        <v/>
      </c>
      <c r="G10" s="6">
        <f>IFERROR(G9/G4,0)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24" customWidth="1" min="4" max="4"/>
    <col width="24" customWidth="1" min="5" max="5"/>
  </cols>
  <sheetData>
    <row r="1">
      <c r="A1" s="5" t="inlineStr">
        <is>
          <t>Scenario</t>
        </is>
      </c>
      <c r="B1" s="5" t="inlineStr">
        <is>
          <t>Jul Forecast</t>
        </is>
      </c>
      <c r="C1" s="5" t="inlineStr">
        <is>
          <t>Aug Forecast</t>
        </is>
      </c>
      <c r="D1" s="5" t="inlineStr">
        <is>
          <t>Sep Forecast</t>
        </is>
      </c>
      <c r="E1" s="5" t="inlineStr">
        <is>
          <t>Oct Forecast</t>
        </is>
      </c>
    </row>
    <row r="2">
      <c r="A2" s="7" t="inlineStr">
        <is>
          <t>Base Case</t>
        </is>
      </c>
      <c r="B2" s="8">
        <f>P&amp;L!G4*(1+Assumptions!B3)</f>
        <v/>
      </c>
      <c r="C2" s="8">
        <f>B2*(1+Assumptions!B3)</f>
        <v/>
      </c>
      <c r="D2" s="8">
        <f>C2*(1+Assumptions!B3)</f>
        <v/>
      </c>
      <c r="E2" s="8">
        <f>D2*(1+Assumptions!B3)</f>
        <v/>
      </c>
    </row>
    <row r="3">
      <c r="A3" s="7" t="inlineStr">
        <is>
          <t>Upside</t>
        </is>
      </c>
      <c r="B3" s="8">
        <f>P&amp;L!G4*(1+Assumptions!B4)</f>
        <v/>
      </c>
      <c r="C3" s="8">
        <f>B3*(1+Assumptions!B4)</f>
        <v/>
      </c>
      <c r="D3" s="8">
        <f>C3*(1+Assumptions!B4)</f>
        <v/>
      </c>
      <c r="E3" s="8">
        <f>D3*(1+Assumptions!B4)</f>
        <v/>
      </c>
    </row>
    <row r="4">
      <c r="A4" s="7" t="inlineStr">
        <is>
          <t>Downside</t>
        </is>
      </c>
      <c r="B4" s="8">
        <f>P&amp;L!G4*(1+Assumptions!B5)</f>
        <v/>
      </c>
      <c r="C4" s="8">
        <f>B4*(1+Assumptions!B5)</f>
        <v/>
      </c>
      <c r="D4" s="8">
        <f>C4*(1+Assumptions!B5)</f>
        <v/>
      </c>
      <c r="E4" s="8">
        <f>D4*(1+Assumptions!B5)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17" customWidth="1" min="3" max="3"/>
    <col width="31" customWidth="1" min="4" max="4"/>
  </cols>
  <sheetData>
    <row r="1">
      <c r="A1" s="4" t="inlineStr">
        <is>
          <t>AquaTech FP&amp;A — KPI Summary</t>
        </is>
      </c>
    </row>
    <row r="2"/>
    <row r="3">
      <c r="A3" s="5" t="inlineStr">
        <is>
          <t>KPI</t>
        </is>
      </c>
      <c r="B3" s="5" t="inlineStr">
        <is>
          <t>Value</t>
        </is>
      </c>
      <c r="C3" s="5" t="inlineStr">
        <is>
          <t>Reference</t>
        </is>
      </c>
      <c r="D3" s="5" t="inlineStr">
        <is>
          <t>Interpretation</t>
        </is>
      </c>
    </row>
    <row r="4">
      <c r="A4" s="2" t="inlineStr">
        <is>
          <t>Total Revenue</t>
        </is>
      </c>
      <c r="B4" s="3">
        <f>SUM(P&amp;L!B4:G4)</f>
        <v/>
      </c>
      <c r="C4" s="2" t="inlineStr">
        <is>
          <t>Budget = $5.94M</t>
        </is>
      </c>
      <c r="D4" s="2" t="inlineStr">
        <is>
          <t>Actual revenue across Jan-Jun</t>
        </is>
      </c>
    </row>
    <row r="5">
      <c r="A5" s="2" t="inlineStr">
        <is>
          <t>Revenue Variance</t>
        </is>
      </c>
      <c r="B5" s="3">
        <f>Budget_vs_Actual!D9</f>
        <v/>
      </c>
      <c r="C5" s="2" t="inlineStr">
        <is>
          <t>Near 0</t>
        </is>
      </c>
      <c r="D5" s="2" t="inlineStr">
        <is>
          <t>Actual vs budget gap</t>
        </is>
      </c>
    </row>
    <row r="6">
      <c r="A6" s="2" t="inlineStr">
        <is>
          <t>Gross Margin</t>
        </is>
      </c>
      <c r="B6" s="6">
        <f>SUM(P&amp;L!B6:G6)/SUM(P&amp;L!B4:G4)</f>
        <v/>
      </c>
      <c r="C6" s="2" t="inlineStr">
        <is>
          <t>~75%+</t>
        </is>
      </c>
      <c r="D6" s="2" t="inlineStr">
        <is>
          <t>Gross profitability</t>
        </is>
      </c>
    </row>
    <row r="7">
      <c r="A7" s="2" t="inlineStr">
        <is>
          <t>Operating Margin</t>
        </is>
      </c>
      <c r="B7" s="6">
        <f>SUM(P&amp;L!B9:G9)/SUM(P&amp;L!B4:G4)</f>
        <v/>
      </c>
      <c r="C7" s="2" t="inlineStr">
        <is>
          <t>~55%+</t>
        </is>
      </c>
      <c r="D7" s="2" t="inlineStr">
        <is>
          <t>Operating profitability</t>
        </is>
      </c>
    </row>
    <row r="8">
      <c r="A8" s="2" t="inlineStr">
        <is>
          <t>Avg Revenue / Customer</t>
        </is>
      </c>
      <c r="B8" s="3">
        <f>SUM(Raw_Data!D2:D7)/SUM(Raw_Data!J2:J7)</f>
        <v/>
      </c>
      <c r="C8" s="2" t="inlineStr">
        <is>
          <t>Monitor trend</t>
        </is>
      </c>
      <c r="D8" s="2" t="inlineStr">
        <is>
          <t>Customer monetization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8" customWidth="1" min="3" max="3"/>
    <col width="12" customWidth="1" min="4" max="4"/>
    <col width="14" customWidth="1" min="5" max="5"/>
    <col width="12" customWidth="1" min="6" max="6"/>
    <col width="18" customWidth="1" min="7" max="7"/>
  </cols>
  <sheetData>
    <row r="1">
      <c r="A1" s="11" t="inlineStr">
        <is>
          <t>AquaTech FP&amp;A — Executive Dashboard</t>
        </is>
      </c>
    </row>
    <row r="2"/>
    <row r="3">
      <c r="A3" s="12" t="inlineStr">
        <is>
          <t>Total Revenue</t>
        </is>
      </c>
      <c r="C3" s="12" t="inlineStr">
        <is>
          <t>Revenue Variance</t>
        </is>
      </c>
      <c r="E3" s="12" t="inlineStr">
        <is>
          <t>Gross Margin</t>
        </is>
      </c>
      <c r="G3" s="12" t="inlineStr">
        <is>
          <t>Operating Margin</t>
        </is>
      </c>
    </row>
    <row r="4">
      <c r="A4" s="13">
        <f>KPIs!B4</f>
        <v/>
      </c>
      <c r="C4" s="13">
        <f>KPIs!B5</f>
        <v/>
      </c>
      <c r="E4" s="14">
        <f>KPIs!B6</f>
        <v/>
      </c>
      <c r="G4" s="14">
        <f>KPIs!B7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2026-09-01T15:59:03Z</dcterms:created>
  <dcterms:modified xmlns:dcterms="http://purl.org/dc/terms/" xmlns:xsi="http://www.w3.org/2001/XMLSchema-instance" xsi:type="dcterms:W3CDTF">2026-09-01T15:59:03Z</dcterms:modified>
</cp:coreProperties>
</file>